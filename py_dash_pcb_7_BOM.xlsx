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acecar\programming_and_design\PyDash\PyDash_PCB\"/>
    </mc:Choice>
  </mc:AlternateContent>
  <xr:revisionPtr revIDLastSave="0" documentId="13_ncr:1_{794A2D80-EBA8-4A79-A4EF-E8FFCF02303E}" xr6:coauthVersionLast="47" xr6:coauthVersionMax="47" xr10:uidLastSave="{00000000-0000-0000-0000-000000000000}"/>
  <bookViews>
    <workbookView xWindow="-120" yWindow="-120" windowWidth="29040" windowHeight="15720" xr2:uid="{C634C7BF-3DA9-4665-B818-ADA65906E886}"/>
  </bookViews>
  <sheets>
    <sheet name="py_dash_pcb_7" sheetId="1" r:id="rId1"/>
  </sheets>
  <calcPr calcId="181029"/>
</workbook>
</file>

<file path=xl/calcChain.xml><?xml version="1.0" encoding="utf-8"?>
<calcChain xmlns="http://schemas.openxmlformats.org/spreadsheetml/2006/main">
  <c r="K11" i="1" l="1"/>
  <c r="K24" i="1"/>
  <c r="K5" i="1"/>
  <c r="K6" i="1"/>
  <c r="K8" i="1"/>
  <c r="K9" i="1"/>
  <c r="K4" i="1"/>
  <c r="K7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31" i="1"/>
  <c r="K33" i="1"/>
  <c r="K34" i="1"/>
  <c r="K35" i="1"/>
  <c r="K36" i="1"/>
  <c r="K28" i="1"/>
  <c r="K29" i="1"/>
  <c r="K30" i="1"/>
  <c r="K32" i="1"/>
  <c r="K37" i="1"/>
  <c r="K38" i="1"/>
  <c r="K39" i="1"/>
  <c r="K40" i="1"/>
  <c r="K41" i="1"/>
  <c r="K42" i="1"/>
  <c r="K43" i="1"/>
  <c r="K44" i="1"/>
  <c r="K45" i="1"/>
  <c r="K46" i="1"/>
  <c r="K47" i="1"/>
  <c r="K3" i="1"/>
  <c r="K1" i="1" l="1"/>
</calcChain>
</file>

<file path=xl/sharedStrings.xml><?xml version="1.0" encoding="utf-8"?>
<sst xmlns="http://schemas.openxmlformats.org/spreadsheetml/2006/main" count="371" uniqueCount="267">
  <si>
    <t>Reference</t>
  </si>
  <si>
    <t>Value</t>
  </si>
  <si>
    <t>Qty</t>
  </si>
  <si>
    <t>Source/Reseller</t>
  </si>
  <si>
    <t>Reseller_P/N</t>
  </si>
  <si>
    <t>Footprint</t>
  </si>
  <si>
    <t>C1,C6,C19,C20,C26,C27,C28,C29,C30,C31</t>
  </si>
  <si>
    <t>1u</t>
  </si>
  <si>
    <t>Mouser</t>
  </si>
  <si>
    <t>80-C0805C105M3R</t>
  </si>
  <si>
    <t>Capacitor_SMD:C_0805_2012Metric</t>
  </si>
  <si>
    <t>C2,C5,C21,C22</t>
  </si>
  <si>
    <t>10u_25v</t>
  </si>
  <si>
    <t>80-T495B106K25ATE750</t>
  </si>
  <si>
    <t>Capacitor_Tantalum_SMD:CP_EIA-3528-21_Kemet-B</t>
  </si>
  <si>
    <t>C3,C4,C23,C25,C32</t>
  </si>
  <si>
    <t>0u1</t>
  </si>
  <si>
    <t>80-C0805C104M5R</t>
  </si>
  <si>
    <t>C7</t>
  </si>
  <si>
    <t>1n2</t>
  </si>
  <si>
    <t>80-C0805C122K5R</t>
  </si>
  <si>
    <t>C8,C9,C10,C11,C12,C13,C14,C15,C16,C17,C24</t>
  </si>
  <si>
    <t>10u</t>
  </si>
  <si>
    <t>80-C0805C106K4PAC</t>
  </si>
  <si>
    <t>C18</t>
  </si>
  <si>
    <t>100u</t>
  </si>
  <si>
    <t>581-TPSB107K010R0400</t>
  </si>
  <si>
    <t>C33,C34</t>
  </si>
  <si>
    <t>20p</t>
  </si>
  <si>
    <t>80-C0805C200F5G</t>
  </si>
  <si>
    <t>D1,D6,D7,D8</t>
  </si>
  <si>
    <t>red</t>
  </si>
  <si>
    <t>710-150080RS75000</t>
  </si>
  <si>
    <t>LED_SMD:LED_0805_2012Metric</t>
  </si>
  <si>
    <t>27V</t>
  </si>
  <si>
    <t>863-MMSZ27T1G</t>
  </si>
  <si>
    <t>Diode_SMD:D_SOD-123</t>
  </si>
  <si>
    <t>D9</t>
  </si>
  <si>
    <t>NUP2105L</t>
  </si>
  <si>
    <t>863-NUP2105LT1G</t>
  </si>
  <si>
    <t>Package_TO_SOT_SMD:SOT-23</t>
  </si>
  <si>
    <t>N/A</t>
  </si>
  <si>
    <t>MountingHole:MountingHole_3.2mm_M3_DIN965_Pad_TopOnly</t>
  </si>
  <si>
    <t>H2,H4,H7,He1</t>
  </si>
  <si>
    <t>CM4_M2_1.5ET</t>
  </si>
  <si>
    <t>710-9774015243R</t>
  </si>
  <si>
    <t>H8,H9,H10,H11,H12,H13,H14,H15,H16,H17,H18,H19,H20,H21,H22,H23</t>
  </si>
  <si>
    <t>J1</t>
  </si>
  <si>
    <t>Micro_SD_Card_Det1</t>
  </si>
  <si>
    <t xml:space="preserve">798-DM3ATSFPEJM541 </t>
  </si>
  <si>
    <t>Connector_Card:microSD_HC_Hirose_DM3AT-SF-PEJM5</t>
  </si>
  <si>
    <t>J2</t>
  </si>
  <si>
    <t>FFC2B28-40-G</t>
  </si>
  <si>
    <t>640-FFC2B28-40-G</t>
  </si>
  <si>
    <t>user:GCT_FFC2B28-40-G</t>
  </si>
  <si>
    <t>J3</t>
  </si>
  <si>
    <t>USB_C_Receptacle_USB2.0_14P</t>
  </si>
  <si>
    <t xml:space="preserve">640-USB4115-03-C </t>
  </si>
  <si>
    <t>Connector_USB:USB_C_Receptacle_GCT_USB4115-03-C</t>
  </si>
  <si>
    <t>J4</t>
  </si>
  <si>
    <t>CANbus</t>
  </si>
  <si>
    <t>571-DTP10-4P</t>
  </si>
  <si>
    <t>user:DT13-4P</t>
  </si>
  <si>
    <t>J5</t>
  </si>
  <si>
    <t>CM4-A</t>
  </si>
  <si>
    <t>798-DF40C100DS0.4V51</t>
  </si>
  <si>
    <t>J6</t>
  </si>
  <si>
    <t>CM4-B</t>
  </si>
  <si>
    <t>J7</t>
  </si>
  <si>
    <t>HDMI_ribbon</t>
  </si>
  <si>
    <t>J8</t>
  </si>
  <si>
    <t>HDMI_Display</t>
  </si>
  <si>
    <t>Waveshare</t>
  </si>
  <si>
    <t>70H-1024600-IPS-A</t>
  </si>
  <si>
    <t>L1</t>
  </si>
  <si>
    <t>3h3</t>
  </si>
  <si>
    <t>652-SRN6045-3R3Y</t>
  </si>
  <si>
    <t>Inductor_SMD:L_Bourns_SRN6045TA</t>
  </si>
  <si>
    <t>Q1,Q2,Q3</t>
  </si>
  <si>
    <t>DMG2307</t>
  </si>
  <si>
    <t>621-DMG2307L-7</t>
  </si>
  <si>
    <t>R1,R12</t>
  </si>
  <si>
    <t>660r</t>
  </si>
  <si>
    <t>Resistor_SMD:R_0805_2012Metric</t>
  </si>
  <si>
    <t>R2</t>
  </si>
  <si>
    <t>10r</t>
  </si>
  <si>
    <t>71-CRCW0805-10-E3</t>
  </si>
  <si>
    <t>R3</t>
  </si>
  <si>
    <t>12k 1%</t>
  </si>
  <si>
    <t>71-CRCW0805-12K</t>
  </si>
  <si>
    <t>R4,R7,R8,R9,R13,R14,R17,R18,R21,R22,R23</t>
  </si>
  <si>
    <t>10k</t>
  </si>
  <si>
    <t>71-CRCW0805-10K-E3</t>
  </si>
  <si>
    <t>R5</t>
  </si>
  <si>
    <t>20k 1%</t>
  </si>
  <si>
    <t>71-CRCW0805-20K-E3</t>
  </si>
  <si>
    <t>R6</t>
  </si>
  <si>
    <t>2k2 1%</t>
  </si>
  <si>
    <t>71-CRCW0805-2.2K-E3</t>
  </si>
  <si>
    <t>R10</t>
  </si>
  <si>
    <t>2k7</t>
  </si>
  <si>
    <t>71-CRCW0805-2.7K-E3</t>
  </si>
  <si>
    <t>R11</t>
  </si>
  <si>
    <t>1k</t>
  </si>
  <si>
    <t>71-CRCW0805-1.0K-E3</t>
  </si>
  <si>
    <t>R15,R16,R19,R20,R24,R25</t>
  </si>
  <si>
    <t>27k</t>
  </si>
  <si>
    <t>71-CRCW0805-27K-E3</t>
  </si>
  <si>
    <t>R26</t>
  </si>
  <si>
    <t>4k7</t>
  </si>
  <si>
    <t>71-CRCW0805-4.7K-E3</t>
  </si>
  <si>
    <t>SW1</t>
  </si>
  <si>
    <t>nBoot</t>
  </si>
  <si>
    <t>Button_Switch_SMD:SW_DIP_SPSTx01_Slide_6.7x4.1mm_W8.61mm_P2.54mm_LowProfile</t>
  </si>
  <si>
    <t>SW2,SW3,SW4,SW5,SW6,SW7</t>
  </si>
  <si>
    <t>SW_Push</t>
  </si>
  <si>
    <t>653-B3F-5050</t>
  </si>
  <si>
    <t>user:SW_B3F-4050_OMR</t>
  </si>
  <si>
    <t>U1</t>
  </si>
  <si>
    <t>CM4102008</t>
  </si>
  <si>
    <t>user:MODULE_CM4102008</t>
  </si>
  <si>
    <t>U2</t>
  </si>
  <si>
    <t>AP64501SP-13</t>
  </si>
  <si>
    <t>621-AP64501SP-13</t>
  </si>
  <si>
    <t>user:SOIC127P600X170-9N</t>
  </si>
  <si>
    <t>U3</t>
  </si>
  <si>
    <t>BD33FC0FP</t>
  </si>
  <si>
    <t>Package_TO_SOT_SMD:TO-252-2</t>
  </si>
  <si>
    <t>U4</t>
  </si>
  <si>
    <t>EMIF06-MSD02N16</t>
  </si>
  <si>
    <t>511-EMIF06-MSD02N16</t>
  </si>
  <si>
    <t>user:EMIF06MSD02N16</t>
  </si>
  <si>
    <t>U5,U6</t>
  </si>
  <si>
    <t>TPD8S009DSMR</t>
  </si>
  <si>
    <t>595-TPD8S009DSMR</t>
  </si>
  <si>
    <t>user:IC_TPD8S009DSMR</t>
  </si>
  <si>
    <t>U7</t>
  </si>
  <si>
    <t>TPD2EUSB30</t>
  </si>
  <si>
    <t>Package_TO_SOT_SMD:Texas_DRT-3</t>
  </si>
  <si>
    <t>U8</t>
  </si>
  <si>
    <t>MCP2515-xST</t>
  </si>
  <si>
    <t>579-MCP2515T-E/ST</t>
  </si>
  <si>
    <t>Package_SO:TSSOP-20_4.4x6.5mm_P0.65mm</t>
  </si>
  <si>
    <t>U9</t>
  </si>
  <si>
    <t>SN65HVD234</t>
  </si>
  <si>
    <t>595-SN65HVD234DR</t>
  </si>
  <si>
    <t>Package_SO:SOIC-8_3.9x4.9mm_P1.27mm</t>
  </si>
  <si>
    <t>Y1</t>
  </si>
  <si>
    <t>16Mhz</t>
  </si>
  <si>
    <t>732-FA-23816B-C3</t>
  </si>
  <si>
    <t>Crystal:Crystal_SMD_3225-4Pin_3.2x2.5mm</t>
  </si>
  <si>
    <t>ok - 4k</t>
  </si>
  <si>
    <t>qty_check : 3/15/26</t>
  </si>
  <si>
    <t>ok - 5k</t>
  </si>
  <si>
    <t>price : 3/15/26</t>
  </si>
  <si>
    <t>MFGR_P/N</t>
  </si>
  <si>
    <t>C0805C105M3RACTU</t>
  </si>
  <si>
    <t>C0805C104M5RACTU</t>
  </si>
  <si>
    <t>C0805C122K5RACTU</t>
  </si>
  <si>
    <t>T495B106K025ATE750</t>
  </si>
  <si>
    <t>MFGR</t>
  </si>
  <si>
    <t>Kemet</t>
  </si>
  <si>
    <t>ok - 560k</t>
  </si>
  <si>
    <t>ok - 8k</t>
  </si>
  <si>
    <t>ok - 7k</t>
  </si>
  <si>
    <t>C0805C106K4PAC</t>
  </si>
  <si>
    <t>TPSB107K010R0400</t>
  </si>
  <si>
    <t>150080RS75000</t>
  </si>
  <si>
    <t>MMSZ27T1G</t>
  </si>
  <si>
    <t>NUP2105LT1G</t>
  </si>
  <si>
    <t>9774015243R</t>
  </si>
  <si>
    <t>ok - 17k</t>
  </si>
  <si>
    <t>Kyocera</t>
  </si>
  <si>
    <t>ok - 10k</t>
  </si>
  <si>
    <t>ok - 20k</t>
  </si>
  <si>
    <t>C0805C200F5GACTU</t>
  </si>
  <si>
    <t>Wurth</t>
  </si>
  <si>
    <t>ok - 65k</t>
  </si>
  <si>
    <t>OnSemi</t>
  </si>
  <si>
    <t>ok - 23k</t>
  </si>
  <si>
    <t>ok - 91k</t>
  </si>
  <si>
    <t>USB4115-03-C</t>
  </si>
  <si>
    <t>DTP10-4P</t>
  </si>
  <si>
    <t>SRN6045-3R3Y</t>
  </si>
  <si>
    <t>DMG2307L-7</t>
  </si>
  <si>
    <t>PEM</t>
  </si>
  <si>
    <t>ok - 15k</t>
  </si>
  <si>
    <t>Hirose</t>
  </si>
  <si>
    <t>GCT</t>
  </si>
  <si>
    <t>Bourns</t>
  </si>
  <si>
    <t>DM3AT-SF-PEJM5(41)</t>
  </si>
  <si>
    <t>ok - 18k</t>
  </si>
  <si>
    <t>ok - 6k</t>
  </si>
  <si>
    <t>ok - 27k</t>
  </si>
  <si>
    <t>Deutsch</t>
  </si>
  <si>
    <t>ok - 120</t>
  </si>
  <si>
    <t>DF40C-100DS-0.4V(51)</t>
  </si>
  <si>
    <t>ok - 37k</t>
  </si>
  <si>
    <t>ok</t>
  </si>
  <si>
    <t>05-40-D-0152-A-4-06-4-G</t>
  </si>
  <si>
    <t>640-0540D0152A4064G</t>
  </si>
  <si>
    <t>ok - 500</t>
  </si>
  <si>
    <t>Diodes</t>
  </si>
  <si>
    <t>B3F-5050</t>
  </si>
  <si>
    <t>ok - 53k</t>
  </si>
  <si>
    <t>ok - 52k</t>
  </si>
  <si>
    <t>71-CRCW0805-665-E3</t>
  </si>
  <si>
    <t>Vishay</t>
  </si>
  <si>
    <t>CRCW0805665RFKEA</t>
  </si>
  <si>
    <t>ok - 102k</t>
  </si>
  <si>
    <t>CRCW080510R0FKEA</t>
  </si>
  <si>
    <t>ok - 176k</t>
  </si>
  <si>
    <t>CRCW080512K0FKTA</t>
  </si>
  <si>
    <t>CRCW080510K0FKEA</t>
  </si>
  <si>
    <t>ok - 685k</t>
  </si>
  <si>
    <t>CRCW080520K0FKEA</t>
  </si>
  <si>
    <t>ok - 17</t>
  </si>
  <si>
    <t>CRCW08052K20FKEA</t>
  </si>
  <si>
    <t>ok - 90k</t>
  </si>
  <si>
    <t>MCP2515T-E/ST</t>
  </si>
  <si>
    <t>SN65HVD234DR</t>
  </si>
  <si>
    <t>ok - 2k</t>
  </si>
  <si>
    <t>Omron</t>
  </si>
  <si>
    <t>ok - 25k</t>
  </si>
  <si>
    <t>ST</t>
  </si>
  <si>
    <t>CRCW08052K70FKEA</t>
  </si>
  <si>
    <t>CRCW08051K00FKEA</t>
  </si>
  <si>
    <t>ok - 604k</t>
  </si>
  <si>
    <t>CRCW080527K0FKEA</t>
  </si>
  <si>
    <t>CRCW08054K70FKEA</t>
  </si>
  <si>
    <t>ok - 224k</t>
  </si>
  <si>
    <t>TI</t>
  </si>
  <si>
    <t>ok - 950</t>
  </si>
  <si>
    <t>Microchip</t>
  </si>
  <si>
    <t>ok - 78k</t>
  </si>
  <si>
    <t>Epson</t>
  </si>
  <si>
    <t>FA-238 16.0000MB-C3</t>
  </si>
  <si>
    <t>ok - 39k</t>
  </si>
  <si>
    <t>CM4001008</t>
  </si>
  <si>
    <t>Raspberry PI</t>
  </si>
  <si>
    <t>2648-SC0696-ND</t>
  </si>
  <si>
    <t>Digikey</t>
  </si>
  <si>
    <t>ok - 400</t>
  </si>
  <si>
    <t>ok - 13k</t>
  </si>
  <si>
    <t>NCV1117DT33T5G</t>
  </si>
  <si>
    <t>863-NCV1117DT33T5G</t>
  </si>
  <si>
    <t>595-TPD2E009DRTR</t>
  </si>
  <si>
    <t>TPD2E009DRTR</t>
  </si>
  <si>
    <t>BOM cost:</t>
  </si>
  <si>
    <t>Line_price</t>
  </si>
  <si>
    <t>653-B32-1360</t>
  </si>
  <si>
    <t>B32-1360</t>
  </si>
  <si>
    <t>J9, J10, J11, J12, J13, J14, J15</t>
  </si>
  <si>
    <t>12x12 keycap - white</t>
  </si>
  <si>
    <t>SMTSO-M25-6ET</t>
  </si>
  <si>
    <t>153-SMTSO-M25-6ET</t>
  </si>
  <si>
    <t>user:Standoff_M2.5_6ET</t>
  </si>
  <si>
    <t>Standoff_M2.5_6ET</t>
  </si>
  <si>
    <t>490-DS04254201BK-SMT</t>
  </si>
  <si>
    <t xml:space="preserve">DS04-254-2-01BK-SMT </t>
  </si>
  <si>
    <t>Same Sky</t>
  </si>
  <si>
    <t>2A 60V</t>
  </si>
  <si>
    <t>D2,D3</t>
  </si>
  <si>
    <t>D4,D5</t>
  </si>
  <si>
    <t>750-CDBMT260-HF</t>
  </si>
  <si>
    <t>CDBMT260-HF</t>
  </si>
  <si>
    <t>Comchip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</si>
</sst>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4" fontId="0" fillId="0" borderId="0" xfId="42" applyFont="1" applyAlignment="1">
      <alignment vertical="top"/>
    </xf>
    <xf numFmtId="44" fontId="0" fillId="0" borderId="0" xfId="42" applyFont="1" applyAlignment="1">
      <alignment horizontal="right" vertical="top"/>
    </xf>
    <xf numFmtId="44" fontId="0" fillId="0" borderId="0" xfId="0" applyNumberFormat="1" applyAlignment="1">
      <alignment vertical="top"/>
    </xf>
    <xf numFmtId="44" fontId="0" fillId="0" borderId="0" xfId="42" applyFont="1" applyFill="1" applyAlignment="1">
      <alignment vertical="top"/>
    </xf>
    <xf numFmtId="0" fontId="0" fillId="33" borderId="0" xfId="0" applyFill="1" applyAlignment="1">
      <alignment vertical="top"/>
    </xf>
    <xf numFmtId="0" fontId="0" fillId="34" borderId="0" xfId="0" applyFill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9D72-AD31-4579-A425-A1740584196B}">
  <dimension ref="A1:K47"/>
  <sheetViews>
    <sheetView tabSelected="1" workbookViewId="0">
      <pane ySplit="2" topLeftCell="A3" activePane="bottomLeft" state="frozen"/>
      <selection pane="bottomLeft" activeCell="E11" sqref="E11"/>
    </sheetView>
  </sheetViews>
  <sheetFormatPr defaultRowHeight="15" x14ac:dyDescent="0.25"/>
  <cols>
    <col min="1" max="1" width="28.7109375" style="1" customWidth="1"/>
    <col min="2" max="2" width="29" style="2" bestFit="1" customWidth="1"/>
    <col min="3" max="3" width="22" style="2" customWidth="1"/>
    <col min="4" max="4" width="4.140625" style="2" bestFit="1" customWidth="1"/>
    <col min="5" max="5" width="17" style="2" customWidth="1"/>
    <col min="6" max="6" width="21.7109375" style="2" bestFit="1" customWidth="1"/>
    <col min="7" max="7" width="12.5703125" style="2" customWidth="1"/>
    <col min="8" max="8" width="25.42578125" style="2" customWidth="1"/>
    <col min="9" max="9" width="18.28515625" style="2" bestFit="1" customWidth="1"/>
    <col min="10" max="10" width="15" style="3" customWidth="1"/>
    <col min="11" max="11" width="10.28515625" style="2" customWidth="1"/>
    <col min="12" max="16384" width="9.140625" style="2"/>
  </cols>
  <sheetData>
    <row r="1" spans="1:11" x14ac:dyDescent="0.25">
      <c r="J1" s="4" t="s">
        <v>248</v>
      </c>
      <c r="K1" s="5">
        <f>SUM(K3:K47)</f>
        <v>159.21000000000004</v>
      </c>
    </row>
    <row r="2" spans="1:11" x14ac:dyDescent="0.25">
      <c r="A2" s="1" t="s">
        <v>0</v>
      </c>
      <c r="B2" s="2" t="s">
        <v>1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160</v>
      </c>
      <c r="H2" s="2" t="s">
        <v>155</v>
      </c>
      <c r="I2" s="2" t="s">
        <v>152</v>
      </c>
      <c r="J2" s="3" t="s">
        <v>154</v>
      </c>
      <c r="K2" s="2" t="s">
        <v>249</v>
      </c>
    </row>
    <row r="3" spans="1:11" ht="30" x14ac:dyDescent="0.25">
      <c r="A3" s="1" t="s">
        <v>6</v>
      </c>
      <c r="B3" s="2" t="s">
        <v>7</v>
      </c>
      <c r="C3" s="2" t="s">
        <v>10</v>
      </c>
      <c r="D3" s="2">
        <v>10</v>
      </c>
      <c r="E3" s="2" t="s">
        <v>8</v>
      </c>
      <c r="F3" s="2" t="s">
        <v>9</v>
      </c>
      <c r="G3" s="2" t="s">
        <v>161</v>
      </c>
      <c r="H3" s="2" t="s">
        <v>156</v>
      </c>
      <c r="I3" s="2" t="s">
        <v>151</v>
      </c>
      <c r="J3" s="3">
        <v>0.17</v>
      </c>
      <c r="K3" s="5">
        <f t="shared" ref="K3:K47" si="0">J3*D3</f>
        <v>1.7000000000000002</v>
      </c>
    </row>
    <row r="4" spans="1:11" x14ac:dyDescent="0.25">
      <c r="A4" s="1" t="s">
        <v>24</v>
      </c>
      <c r="B4" s="2" t="s">
        <v>25</v>
      </c>
      <c r="C4" s="2" t="s">
        <v>14</v>
      </c>
      <c r="D4" s="2">
        <v>1</v>
      </c>
      <c r="E4" s="2" t="s">
        <v>8</v>
      </c>
      <c r="F4" s="2" t="s">
        <v>26</v>
      </c>
      <c r="G4" s="2" t="s">
        <v>172</v>
      </c>
      <c r="H4" s="2" t="s">
        <v>166</v>
      </c>
      <c r="I4" s="2" t="s">
        <v>173</v>
      </c>
      <c r="J4" s="3">
        <v>0.9</v>
      </c>
      <c r="K4" s="5">
        <f t="shared" si="0"/>
        <v>0.9</v>
      </c>
    </row>
    <row r="5" spans="1:11" x14ac:dyDescent="0.25">
      <c r="A5" s="1" t="s">
        <v>11</v>
      </c>
      <c r="B5" s="2" t="s">
        <v>12</v>
      </c>
      <c r="C5" s="2" t="s">
        <v>14</v>
      </c>
      <c r="D5" s="2">
        <v>4</v>
      </c>
      <c r="E5" s="2" t="s">
        <v>8</v>
      </c>
      <c r="F5" s="2" t="s">
        <v>13</v>
      </c>
      <c r="G5" s="2" t="s">
        <v>161</v>
      </c>
      <c r="H5" s="2" t="s">
        <v>159</v>
      </c>
      <c r="I5" s="2" t="s">
        <v>153</v>
      </c>
      <c r="J5" s="3">
        <v>1.5</v>
      </c>
      <c r="K5" s="5">
        <f t="shared" si="0"/>
        <v>6</v>
      </c>
    </row>
    <row r="6" spans="1:11" x14ac:dyDescent="0.25">
      <c r="A6" s="1" t="s">
        <v>15</v>
      </c>
      <c r="B6" s="2" t="s">
        <v>16</v>
      </c>
      <c r="C6" s="2" t="s">
        <v>10</v>
      </c>
      <c r="D6" s="2">
        <v>5</v>
      </c>
      <c r="E6" s="2" t="s">
        <v>8</v>
      </c>
      <c r="F6" s="2" t="s">
        <v>17</v>
      </c>
      <c r="G6" s="2" t="s">
        <v>161</v>
      </c>
      <c r="H6" s="2" t="s">
        <v>157</v>
      </c>
      <c r="I6" s="2" t="s">
        <v>162</v>
      </c>
      <c r="J6" s="3">
        <v>0.1</v>
      </c>
      <c r="K6" s="5">
        <f t="shared" si="0"/>
        <v>0.5</v>
      </c>
    </row>
    <row r="7" spans="1:11" x14ac:dyDescent="0.25">
      <c r="A7" s="1" t="s">
        <v>27</v>
      </c>
      <c r="B7" s="2" t="s">
        <v>28</v>
      </c>
      <c r="C7" s="2" t="s">
        <v>10</v>
      </c>
      <c r="D7" s="2">
        <v>2</v>
      </c>
      <c r="E7" s="2" t="s">
        <v>8</v>
      </c>
      <c r="F7" s="2" t="s">
        <v>29</v>
      </c>
      <c r="G7" s="2" t="s">
        <v>161</v>
      </c>
      <c r="H7" s="2" t="s">
        <v>175</v>
      </c>
      <c r="I7" s="2" t="s">
        <v>153</v>
      </c>
      <c r="J7" s="3">
        <v>1.17</v>
      </c>
      <c r="K7" s="5">
        <f t="shared" si="0"/>
        <v>2.34</v>
      </c>
    </row>
    <row r="8" spans="1:11" x14ac:dyDescent="0.25">
      <c r="A8" s="1" t="s">
        <v>18</v>
      </c>
      <c r="B8" s="2" t="s">
        <v>19</v>
      </c>
      <c r="C8" s="2" t="s">
        <v>10</v>
      </c>
      <c r="D8" s="2">
        <v>1</v>
      </c>
      <c r="E8" s="2" t="s">
        <v>8</v>
      </c>
      <c r="F8" s="2" t="s">
        <v>20</v>
      </c>
      <c r="G8" s="2" t="s">
        <v>161</v>
      </c>
      <c r="H8" s="2" t="s">
        <v>158</v>
      </c>
      <c r="I8" s="2" t="s">
        <v>163</v>
      </c>
      <c r="J8" s="3">
        <v>0.19</v>
      </c>
      <c r="K8" s="5">
        <f t="shared" si="0"/>
        <v>0.19</v>
      </c>
    </row>
    <row r="9" spans="1:11" ht="30" x14ac:dyDescent="0.25">
      <c r="A9" s="1" t="s">
        <v>21</v>
      </c>
      <c r="B9" s="2" t="s">
        <v>22</v>
      </c>
      <c r="C9" s="2" t="s">
        <v>10</v>
      </c>
      <c r="D9" s="2">
        <v>11</v>
      </c>
      <c r="E9" s="2" t="s">
        <v>8</v>
      </c>
      <c r="F9" s="2" t="s">
        <v>23</v>
      </c>
      <c r="G9" s="2" t="s">
        <v>161</v>
      </c>
      <c r="H9" s="2" t="s">
        <v>165</v>
      </c>
      <c r="I9" s="2" t="s">
        <v>171</v>
      </c>
      <c r="J9" s="3">
        <v>0.17</v>
      </c>
      <c r="K9" s="5">
        <f t="shared" si="0"/>
        <v>1.87</v>
      </c>
    </row>
    <row r="10" spans="1:11" x14ac:dyDescent="0.25">
      <c r="A10" s="1" t="s">
        <v>30</v>
      </c>
      <c r="B10" s="2" t="s">
        <v>31</v>
      </c>
      <c r="C10" s="2" t="s">
        <v>33</v>
      </c>
      <c r="D10" s="2">
        <v>4</v>
      </c>
      <c r="E10" s="2" t="s">
        <v>8</v>
      </c>
      <c r="F10" s="2" t="s">
        <v>32</v>
      </c>
      <c r="G10" s="2" t="s">
        <v>176</v>
      </c>
      <c r="H10" s="2" t="s">
        <v>167</v>
      </c>
      <c r="I10" s="2" t="s">
        <v>177</v>
      </c>
      <c r="J10" s="3">
        <v>0.19</v>
      </c>
      <c r="K10" s="5">
        <f t="shared" si="0"/>
        <v>0.76</v>
      </c>
    </row>
    <row r="11" spans="1:11" x14ac:dyDescent="0.25">
      <c r="A11" s="1" t="s">
        <v>262</v>
      </c>
      <c r="B11" s="2" t="s">
        <v>261</v>
      </c>
      <c r="C11" s="2" t="s">
        <v>36</v>
      </c>
      <c r="D11" s="2">
        <v>2</v>
      </c>
      <c r="E11" s="2" t="s">
        <v>8</v>
      </c>
      <c r="F11" s="2" t="s">
        <v>264</v>
      </c>
      <c r="G11" s="2" t="s">
        <v>266</v>
      </c>
      <c r="H11" s="2" t="s">
        <v>265</v>
      </c>
      <c r="I11" s="2" t="s">
        <v>193</v>
      </c>
      <c r="J11" s="3">
        <v>0.71</v>
      </c>
      <c r="K11" s="5">
        <f t="shared" ref="K11" si="1">J11*D11</f>
        <v>1.42</v>
      </c>
    </row>
    <row r="12" spans="1:11" x14ac:dyDescent="0.25">
      <c r="A12" s="1" t="s">
        <v>263</v>
      </c>
      <c r="B12" s="2" t="s">
        <v>34</v>
      </c>
      <c r="C12" s="2" t="s">
        <v>36</v>
      </c>
      <c r="D12" s="2">
        <v>2</v>
      </c>
      <c r="E12" s="2" t="s">
        <v>8</v>
      </c>
      <c r="F12" s="2" t="s">
        <v>35</v>
      </c>
      <c r="G12" s="2" t="s">
        <v>178</v>
      </c>
      <c r="H12" s="2" t="s">
        <v>168</v>
      </c>
      <c r="I12" s="2" t="s">
        <v>179</v>
      </c>
      <c r="J12" s="3">
        <v>0.12</v>
      </c>
      <c r="K12" s="5">
        <f t="shared" si="0"/>
        <v>0.24</v>
      </c>
    </row>
    <row r="13" spans="1:11" x14ac:dyDescent="0.25">
      <c r="A13" s="1" t="s">
        <v>37</v>
      </c>
      <c r="B13" s="2" t="s">
        <v>38</v>
      </c>
      <c r="C13" s="2" t="s">
        <v>40</v>
      </c>
      <c r="D13" s="2">
        <v>1</v>
      </c>
      <c r="E13" s="2" t="s">
        <v>8</v>
      </c>
      <c r="F13" s="2" t="s">
        <v>39</v>
      </c>
      <c r="G13" s="2" t="s">
        <v>178</v>
      </c>
      <c r="H13" s="2" t="s">
        <v>169</v>
      </c>
      <c r="I13" s="2" t="s">
        <v>180</v>
      </c>
      <c r="J13" s="3">
        <v>0.34</v>
      </c>
      <c r="K13" s="5">
        <f t="shared" si="0"/>
        <v>0.34</v>
      </c>
    </row>
    <row r="14" spans="1:11" x14ac:dyDescent="0.25">
      <c r="A14" s="1" t="s">
        <v>43</v>
      </c>
      <c r="B14" s="2" t="s">
        <v>44</v>
      </c>
      <c r="C14" s="2" t="s">
        <v>42</v>
      </c>
      <c r="D14" s="2">
        <v>4</v>
      </c>
      <c r="E14" s="2" t="s">
        <v>8</v>
      </c>
      <c r="F14" s="2" t="s">
        <v>45</v>
      </c>
      <c r="G14" s="2" t="s">
        <v>176</v>
      </c>
      <c r="H14" s="2" t="s">
        <v>170</v>
      </c>
      <c r="I14" s="2" t="s">
        <v>174</v>
      </c>
      <c r="J14" s="3">
        <v>1.1599999999999999</v>
      </c>
      <c r="K14" s="5">
        <f t="shared" si="0"/>
        <v>4.6399999999999997</v>
      </c>
    </row>
    <row r="15" spans="1:11" ht="45" x14ac:dyDescent="0.25">
      <c r="A15" s="1" t="s">
        <v>46</v>
      </c>
      <c r="B15" s="2" t="s">
        <v>257</v>
      </c>
      <c r="C15" s="2" t="s">
        <v>256</v>
      </c>
      <c r="D15" s="2">
        <v>16</v>
      </c>
      <c r="E15" s="2" t="s">
        <v>8</v>
      </c>
      <c r="F15" s="2" t="s">
        <v>255</v>
      </c>
      <c r="G15" s="2" t="s">
        <v>185</v>
      </c>
      <c r="H15" s="2" t="s">
        <v>254</v>
      </c>
      <c r="I15" s="2" t="s">
        <v>163</v>
      </c>
      <c r="J15" s="6">
        <v>1.24</v>
      </c>
      <c r="K15" s="5">
        <f t="shared" si="0"/>
        <v>19.84</v>
      </c>
    </row>
    <row r="16" spans="1:11" x14ac:dyDescent="0.25">
      <c r="A16" s="1" t="s">
        <v>47</v>
      </c>
      <c r="B16" s="2" t="s">
        <v>48</v>
      </c>
      <c r="C16" s="2" t="s">
        <v>50</v>
      </c>
      <c r="D16" s="2">
        <v>1</v>
      </c>
      <c r="E16" s="2" t="s">
        <v>8</v>
      </c>
      <c r="F16" s="2" t="s">
        <v>49</v>
      </c>
      <c r="G16" s="2" t="s">
        <v>187</v>
      </c>
      <c r="H16" s="2" t="s">
        <v>190</v>
      </c>
      <c r="I16" s="2" t="s">
        <v>191</v>
      </c>
      <c r="J16" s="3">
        <v>3.38</v>
      </c>
      <c r="K16" s="5">
        <f t="shared" si="0"/>
        <v>3.38</v>
      </c>
    </row>
    <row r="17" spans="1:11" x14ac:dyDescent="0.25">
      <c r="A17" s="1" t="s">
        <v>51</v>
      </c>
      <c r="B17" s="2" t="s">
        <v>52</v>
      </c>
      <c r="C17" s="2" t="s">
        <v>54</v>
      </c>
      <c r="D17" s="2">
        <v>1</v>
      </c>
      <c r="E17" s="2" t="s">
        <v>8</v>
      </c>
      <c r="F17" s="2" t="s">
        <v>53</v>
      </c>
      <c r="G17" s="2" t="s">
        <v>188</v>
      </c>
      <c r="H17" s="2" t="s">
        <v>52</v>
      </c>
      <c r="I17" s="2" t="s">
        <v>192</v>
      </c>
      <c r="J17" s="3">
        <v>1</v>
      </c>
      <c r="K17" s="5">
        <f t="shared" si="0"/>
        <v>1</v>
      </c>
    </row>
    <row r="18" spans="1:11" x14ac:dyDescent="0.25">
      <c r="A18" s="1" t="s">
        <v>55</v>
      </c>
      <c r="B18" s="2" t="s">
        <v>56</v>
      </c>
      <c r="C18" s="2" t="s">
        <v>58</v>
      </c>
      <c r="D18" s="2">
        <v>1</v>
      </c>
      <c r="E18" s="2" t="s">
        <v>8</v>
      </c>
      <c r="F18" s="2" t="s">
        <v>57</v>
      </c>
      <c r="G18" s="2" t="s">
        <v>188</v>
      </c>
      <c r="H18" s="2" t="s">
        <v>181</v>
      </c>
      <c r="I18" s="2" t="s">
        <v>193</v>
      </c>
      <c r="J18" s="3">
        <v>1.1299999999999999</v>
      </c>
      <c r="K18" s="5">
        <f t="shared" si="0"/>
        <v>1.1299999999999999</v>
      </c>
    </row>
    <row r="19" spans="1:11" x14ac:dyDescent="0.25">
      <c r="A19" s="1" t="s">
        <v>59</v>
      </c>
      <c r="B19" s="2" t="s">
        <v>60</v>
      </c>
      <c r="C19" s="2" t="s">
        <v>62</v>
      </c>
      <c r="D19" s="2">
        <v>1</v>
      </c>
      <c r="E19" s="2" t="s">
        <v>8</v>
      </c>
      <c r="F19" s="2" t="s">
        <v>61</v>
      </c>
      <c r="G19" s="2" t="s">
        <v>194</v>
      </c>
      <c r="H19" s="2" t="s">
        <v>182</v>
      </c>
      <c r="I19" s="2" t="s">
        <v>195</v>
      </c>
      <c r="J19" s="3">
        <v>18.350000000000001</v>
      </c>
      <c r="K19" s="5">
        <f t="shared" si="0"/>
        <v>18.350000000000001</v>
      </c>
    </row>
    <row r="20" spans="1:11" x14ac:dyDescent="0.25">
      <c r="A20" s="1" t="s">
        <v>63</v>
      </c>
      <c r="B20" s="2" t="s">
        <v>64</v>
      </c>
      <c r="C20" s="2" t="s">
        <v>41</v>
      </c>
      <c r="D20" s="2">
        <v>1</v>
      </c>
      <c r="E20" s="2" t="s">
        <v>8</v>
      </c>
      <c r="F20" s="2" t="s">
        <v>65</v>
      </c>
      <c r="G20" s="2" t="s">
        <v>187</v>
      </c>
      <c r="H20" s="2" t="s">
        <v>196</v>
      </c>
      <c r="I20" s="2" t="s">
        <v>197</v>
      </c>
      <c r="J20" s="3">
        <v>1.76</v>
      </c>
      <c r="K20" s="5">
        <f t="shared" si="0"/>
        <v>1.76</v>
      </c>
    </row>
    <row r="21" spans="1:11" x14ac:dyDescent="0.25">
      <c r="A21" s="1" t="s">
        <v>66</v>
      </c>
      <c r="B21" s="2" t="s">
        <v>67</v>
      </c>
      <c r="C21" s="2" t="s">
        <v>41</v>
      </c>
      <c r="D21" s="2">
        <v>1</v>
      </c>
      <c r="E21" s="2" t="s">
        <v>8</v>
      </c>
      <c r="F21" s="2" t="s">
        <v>65</v>
      </c>
      <c r="G21" s="2" t="s">
        <v>187</v>
      </c>
      <c r="H21" s="2" t="s">
        <v>196</v>
      </c>
      <c r="I21" s="2" t="s">
        <v>197</v>
      </c>
      <c r="J21" s="3">
        <v>1.76</v>
      </c>
      <c r="K21" s="5">
        <f t="shared" si="0"/>
        <v>1.76</v>
      </c>
    </row>
    <row r="22" spans="1:11" x14ac:dyDescent="0.25">
      <c r="A22" s="1" t="s">
        <v>68</v>
      </c>
      <c r="B22" s="2" t="s">
        <v>69</v>
      </c>
      <c r="C22" s="2" t="s">
        <v>41</v>
      </c>
      <c r="D22" s="2">
        <v>1</v>
      </c>
      <c r="E22" s="2" t="s">
        <v>8</v>
      </c>
      <c r="F22" s="2" t="s">
        <v>200</v>
      </c>
      <c r="G22" s="2" t="s">
        <v>188</v>
      </c>
      <c r="H22" s="2" t="s">
        <v>199</v>
      </c>
      <c r="I22" s="2" t="s">
        <v>201</v>
      </c>
      <c r="J22" s="3">
        <v>2.1</v>
      </c>
      <c r="K22" s="5">
        <f t="shared" si="0"/>
        <v>2.1</v>
      </c>
    </row>
    <row r="23" spans="1:11" x14ac:dyDescent="0.25">
      <c r="A23" s="1" t="s">
        <v>70</v>
      </c>
      <c r="B23" s="2" t="s">
        <v>71</v>
      </c>
      <c r="C23" s="2" t="s">
        <v>41</v>
      </c>
      <c r="D23" s="2">
        <v>1</v>
      </c>
      <c r="E23" s="7" t="s">
        <v>72</v>
      </c>
      <c r="F23" s="2" t="s">
        <v>73</v>
      </c>
      <c r="G23" s="2" t="s">
        <v>72</v>
      </c>
      <c r="H23" s="2" t="s">
        <v>73</v>
      </c>
      <c r="I23" s="2" t="s">
        <v>198</v>
      </c>
      <c r="J23" s="3">
        <v>30</v>
      </c>
      <c r="K23" s="5">
        <f t="shared" si="0"/>
        <v>30</v>
      </c>
    </row>
    <row r="24" spans="1:11" x14ac:dyDescent="0.25">
      <c r="A24" s="1" t="s">
        <v>252</v>
      </c>
      <c r="B24" s="2" t="s">
        <v>253</v>
      </c>
      <c r="D24" s="2">
        <v>6</v>
      </c>
      <c r="E24" s="2" t="s">
        <v>8</v>
      </c>
      <c r="F24" s="2" t="s">
        <v>250</v>
      </c>
      <c r="G24" s="2" t="s">
        <v>222</v>
      </c>
      <c r="H24" s="2" t="s">
        <v>251</v>
      </c>
      <c r="I24" s="2" t="s">
        <v>153</v>
      </c>
      <c r="J24" s="6">
        <v>0.2</v>
      </c>
      <c r="K24" s="5">
        <f t="shared" si="0"/>
        <v>1.2000000000000002</v>
      </c>
    </row>
    <row r="25" spans="1:11" x14ac:dyDescent="0.25">
      <c r="A25" s="1" t="s">
        <v>74</v>
      </c>
      <c r="B25" s="2" t="s">
        <v>75</v>
      </c>
      <c r="C25" s="2" t="s">
        <v>77</v>
      </c>
      <c r="D25" s="2">
        <v>1</v>
      </c>
      <c r="E25" s="2" t="s">
        <v>8</v>
      </c>
      <c r="F25" s="2" t="s">
        <v>76</v>
      </c>
      <c r="G25" s="2" t="s">
        <v>189</v>
      </c>
      <c r="H25" s="2" t="s">
        <v>183</v>
      </c>
      <c r="I25" s="2" t="s">
        <v>174</v>
      </c>
      <c r="J25" s="3">
        <v>0.42</v>
      </c>
      <c r="K25" s="5">
        <f t="shared" si="0"/>
        <v>0.42</v>
      </c>
    </row>
    <row r="26" spans="1:11" x14ac:dyDescent="0.25">
      <c r="A26" s="1" t="s">
        <v>78</v>
      </c>
      <c r="B26" s="2" t="s">
        <v>79</v>
      </c>
      <c r="C26" s="2" t="s">
        <v>40</v>
      </c>
      <c r="D26" s="2">
        <v>3</v>
      </c>
      <c r="E26" s="2" t="s">
        <v>8</v>
      </c>
      <c r="F26" s="2" t="s">
        <v>80</v>
      </c>
      <c r="G26" s="2" t="s">
        <v>202</v>
      </c>
      <c r="H26" s="2" t="s">
        <v>184</v>
      </c>
      <c r="I26" s="2" t="s">
        <v>204</v>
      </c>
      <c r="J26" s="3">
        <v>0.42</v>
      </c>
      <c r="K26" s="5">
        <f t="shared" si="0"/>
        <v>1.26</v>
      </c>
    </row>
    <row r="27" spans="1:11" x14ac:dyDescent="0.25">
      <c r="A27" s="1" t="s">
        <v>81</v>
      </c>
      <c r="B27" s="2" t="s">
        <v>82</v>
      </c>
      <c r="C27" s="2" t="s">
        <v>83</v>
      </c>
      <c r="D27" s="2">
        <v>2</v>
      </c>
      <c r="E27" s="2" t="s">
        <v>8</v>
      </c>
      <c r="F27" s="2" t="s">
        <v>206</v>
      </c>
      <c r="G27" s="2" t="s">
        <v>207</v>
      </c>
      <c r="H27" s="2" t="s">
        <v>208</v>
      </c>
      <c r="I27" s="2" t="s">
        <v>209</v>
      </c>
      <c r="J27" s="3">
        <v>0.1</v>
      </c>
      <c r="K27" s="5">
        <f t="shared" si="0"/>
        <v>0.2</v>
      </c>
    </row>
    <row r="28" spans="1:11" x14ac:dyDescent="0.25">
      <c r="A28" s="1" t="s">
        <v>99</v>
      </c>
      <c r="B28" s="2" t="s">
        <v>100</v>
      </c>
      <c r="C28" s="2" t="s">
        <v>83</v>
      </c>
      <c r="D28" s="2">
        <v>1</v>
      </c>
      <c r="E28" s="2" t="s">
        <v>8</v>
      </c>
      <c r="F28" s="2" t="s">
        <v>101</v>
      </c>
      <c r="G28" s="2" t="s">
        <v>207</v>
      </c>
      <c r="H28" s="2" t="s">
        <v>225</v>
      </c>
      <c r="I28" s="2" t="s">
        <v>223</v>
      </c>
      <c r="J28" s="3">
        <v>0.19</v>
      </c>
      <c r="K28" s="5">
        <f t="shared" si="0"/>
        <v>0.19</v>
      </c>
    </row>
    <row r="29" spans="1:11" x14ac:dyDescent="0.25">
      <c r="A29" s="1" t="s">
        <v>102</v>
      </c>
      <c r="B29" s="2" t="s">
        <v>103</v>
      </c>
      <c r="C29" s="2" t="s">
        <v>83</v>
      </c>
      <c r="D29" s="2">
        <v>1</v>
      </c>
      <c r="E29" s="2" t="s">
        <v>8</v>
      </c>
      <c r="F29" s="2" t="s">
        <v>104</v>
      </c>
      <c r="G29" s="2" t="s">
        <v>207</v>
      </c>
      <c r="H29" t="s">
        <v>226</v>
      </c>
      <c r="I29" s="2" t="s">
        <v>227</v>
      </c>
      <c r="J29" s="3">
        <v>0.1</v>
      </c>
      <c r="K29" s="5">
        <f t="shared" si="0"/>
        <v>0.1</v>
      </c>
    </row>
    <row r="30" spans="1:11" x14ac:dyDescent="0.25">
      <c r="A30" s="1" t="s">
        <v>105</v>
      </c>
      <c r="B30" s="2" t="s">
        <v>106</v>
      </c>
      <c r="C30" s="2" t="s">
        <v>83</v>
      </c>
      <c r="D30" s="2">
        <v>6</v>
      </c>
      <c r="E30" s="2" t="s">
        <v>8</v>
      </c>
      <c r="F30" s="2" t="s">
        <v>107</v>
      </c>
      <c r="G30" s="2" t="s">
        <v>207</v>
      </c>
      <c r="H30" s="2" t="s">
        <v>228</v>
      </c>
      <c r="I30" s="2" t="s">
        <v>205</v>
      </c>
      <c r="J30" s="3">
        <v>0.12</v>
      </c>
      <c r="K30" s="5">
        <f t="shared" si="0"/>
        <v>0.72</v>
      </c>
    </row>
    <row r="31" spans="1:11" x14ac:dyDescent="0.25">
      <c r="A31" s="1" t="s">
        <v>84</v>
      </c>
      <c r="B31" s="2" t="s">
        <v>85</v>
      </c>
      <c r="C31" s="2" t="s">
        <v>83</v>
      </c>
      <c r="D31" s="2">
        <v>1</v>
      </c>
      <c r="E31" s="2" t="s">
        <v>8</v>
      </c>
      <c r="F31" s="2" t="s">
        <v>86</v>
      </c>
      <c r="G31" s="2" t="s">
        <v>207</v>
      </c>
      <c r="H31" s="2" t="s">
        <v>210</v>
      </c>
      <c r="I31" s="2" t="s">
        <v>211</v>
      </c>
      <c r="J31" s="3">
        <v>0.1</v>
      </c>
      <c r="K31" s="5">
        <f t="shared" si="0"/>
        <v>0.1</v>
      </c>
    </row>
    <row r="32" spans="1:11" x14ac:dyDescent="0.25">
      <c r="A32" s="1" t="s">
        <v>108</v>
      </c>
      <c r="B32" s="2" t="s">
        <v>109</v>
      </c>
      <c r="C32" s="2" t="s">
        <v>83</v>
      </c>
      <c r="D32" s="2">
        <v>1</v>
      </c>
      <c r="E32" s="2" t="s">
        <v>8</v>
      </c>
      <c r="F32" s="2" t="s">
        <v>110</v>
      </c>
      <c r="G32" s="2" t="s">
        <v>207</v>
      </c>
      <c r="H32" s="2" t="s">
        <v>229</v>
      </c>
      <c r="I32" s="2" t="s">
        <v>230</v>
      </c>
      <c r="J32" s="3">
        <v>0.1</v>
      </c>
      <c r="K32" s="5">
        <f t="shared" si="0"/>
        <v>0.1</v>
      </c>
    </row>
    <row r="33" spans="1:11" x14ac:dyDescent="0.25">
      <c r="A33" s="1" t="s">
        <v>87</v>
      </c>
      <c r="B33" s="2" t="s">
        <v>88</v>
      </c>
      <c r="C33" s="2" t="s">
        <v>83</v>
      </c>
      <c r="D33" s="2">
        <v>1</v>
      </c>
      <c r="E33" s="2" t="s">
        <v>8</v>
      </c>
      <c r="F33" s="2" t="s">
        <v>89</v>
      </c>
      <c r="G33" s="2" t="s">
        <v>207</v>
      </c>
      <c r="H33" s="2" t="s">
        <v>212</v>
      </c>
      <c r="I33" s="2" t="s">
        <v>164</v>
      </c>
      <c r="J33" s="3">
        <v>0.15</v>
      </c>
      <c r="K33" s="5">
        <f t="shared" si="0"/>
        <v>0.15</v>
      </c>
    </row>
    <row r="34" spans="1:11" ht="30" x14ac:dyDescent="0.25">
      <c r="A34" s="1" t="s">
        <v>90</v>
      </c>
      <c r="B34" s="2" t="s">
        <v>91</v>
      </c>
      <c r="C34" s="2" t="s">
        <v>83</v>
      </c>
      <c r="D34" s="2">
        <v>11</v>
      </c>
      <c r="E34" s="2" t="s">
        <v>8</v>
      </c>
      <c r="F34" s="2" t="s">
        <v>92</v>
      </c>
      <c r="G34" s="2" t="s">
        <v>207</v>
      </c>
      <c r="H34" s="2" t="s">
        <v>213</v>
      </c>
      <c r="I34" s="2" t="s">
        <v>214</v>
      </c>
      <c r="J34" s="3">
        <v>0.1</v>
      </c>
      <c r="K34" s="5">
        <f t="shared" si="0"/>
        <v>1.1000000000000001</v>
      </c>
    </row>
    <row r="35" spans="1:11" x14ac:dyDescent="0.25">
      <c r="A35" s="1" t="s">
        <v>93</v>
      </c>
      <c r="B35" s="2" t="s">
        <v>94</v>
      </c>
      <c r="C35" s="2" t="s">
        <v>83</v>
      </c>
      <c r="D35" s="2">
        <v>1</v>
      </c>
      <c r="E35" s="2" t="s">
        <v>8</v>
      </c>
      <c r="F35" s="2" t="s">
        <v>95</v>
      </c>
      <c r="G35" s="2" t="s">
        <v>207</v>
      </c>
      <c r="H35" s="2" t="s">
        <v>215</v>
      </c>
      <c r="I35" s="2" t="s">
        <v>216</v>
      </c>
      <c r="J35" s="3">
        <v>0.1</v>
      </c>
      <c r="K35" s="5">
        <f t="shared" si="0"/>
        <v>0.1</v>
      </c>
    </row>
    <row r="36" spans="1:11" x14ac:dyDescent="0.25">
      <c r="A36" s="1" t="s">
        <v>96</v>
      </c>
      <c r="B36" s="2" t="s">
        <v>97</v>
      </c>
      <c r="C36" s="2" t="s">
        <v>83</v>
      </c>
      <c r="D36" s="2">
        <v>1</v>
      </c>
      <c r="E36" s="2" t="s">
        <v>8</v>
      </c>
      <c r="F36" s="2" t="s">
        <v>98</v>
      </c>
      <c r="G36" s="2" t="s">
        <v>207</v>
      </c>
      <c r="H36" s="2" t="s">
        <v>217</v>
      </c>
      <c r="I36" s="2" t="s">
        <v>218</v>
      </c>
      <c r="J36" s="3">
        <v>0.12</v>
      </c>
      <c r="K36" s="5">
        <f t="shared" si="0"/>
        <v>0.12</v>
      </c>
    </row>
    <row r="37" spans="1:11" x14ac:dyDescent="0.25">
      <c r="A37" s="1" t="s">
        <v>111</v>
      </c>
      <c r="B37" s="2" t="s">
        <v>112</v>
      </c>
      <c r="C37" s="2" t="s">
        <v>113</v>
      </c>
      <c r="D37" s="2">
        <v>1</v>
      </c>
      <c r="E37" s="2" t="s">
        <v>8</v>
      </c>
      <c r="F37" t="s">
        <v>258</v>
      </c>
      <c r="G37" s="2" t="s">
        <v>260</v>
      </c>
      <c r="H37" t="s">
        <v>259</v>
      </c>
      <c r="I37" s="2" t="s">
        <v>221</v>
      </c>
      <c r="J37" s="3">
        <v>0.76</v>
      </c>
      <c r="K37" s="5">
        <f t="shared" si="0"/>
        <v>0.76</v>
      </c>
    </row>
    <row r="38" spans="1:11" x14ac:dyDescent="0.25">
      <c r="A38" s="1" t="s">
        <v>114</v>
      </c>
      <c r="B38" s="2" t="s">
        <v>115</v>
      </c>
      <c r="C38" s="2" t="s">
        <v>117</v>
      </c>
      <c r="D38" s="2">
        <v>6</v>
      </c>
      <c r="E38" s="2" t="s">
        <v>8</v>
      </c>
      <c r="F38" s="2" t="s">
        <v>116</v>
      </c>
      <c r="G38" s="2" t="s">
        <v>222</v>
      </c>
      <c r="H38" s="2" t="s">
        <v>203</v>
      </c>
      <c r="I38" s="2" t="s">
        <v>192</v>
      </c>
      <c r="J38" s="6">
        <v>0.34</v>
      </c>
      <c r="K38" s="5">
        <f t="shared" si="0"/>
        <v>2.04</v>
      </c>
    </row>
    <row r="39" spans="1:11" x14ac:dyDescent="0.25">
      <c r="A39" s="1" t="s">
        <v>118</v>
      </c>
      <c r="B39" s="2" t="s">
        <v>119</v>
      </c>
      <c r="C39" s="2" t="s">
        <v>120</v>
      </c>
      <c r="D39" s="2">
        <v>1</v>
      </c>
      <c r="E39" s="8" t="s">
        <v>241</v>
      </c>
      <c r="F39" t="s">
        <v>240</v>
      </c>
      <c r="G39" s="2" t="s">
        <v>239</v>
      </c>
      <c r="H39" s="2" t="s">
        <v>238</v>
      </c>
      <c r="I39" s="2" t="s">
        <v>242</v>
      </c>
      <c r="J39" s="6">
        <v>35</v>
      </c>
      <c r="K39" s="5">
        <f t="shared" si="0"/>
        <v>35</v>
      </c>
    </row>
    <row r="40" spans="1:11" x14ac:dyDescent="0.25">
      <c r="A40" s="1" t="s">
        <v>121</v>
      </c>
      <c r="B40" s="2" t="s">
        <v>122</v>
      </c>
      <c r="C40" s="2" t="s">
        <v>124</v>
      </c>
      <c r="D40" s="2">
        <v>1</v>
      </c>
      <c r="E40" s="2" t="s">
        <v>8</v>
      </c>
      <c r="F40" s="2" t="s">
        <v>123</v>
      </c>
      <c r="G40" s="2" t="s">
        <v>202</v>
      </c>
      <c r="H40" s="2" t="s">
        <v>122</v>
      </c>
      <c r="I40" s="2" t="s">
        <v>186</v>
      </c>
      <c r="J40" s="6">
        <v>2.09</v>
      </c>
      <c r="K40" s="5">
        <f t="shared" si="0"/>
        <v>2.09</v>
      </c>
    </row>
    <row r="41" spans="1:11" x14ac:dyDescent="0.25">
      <c r="A41" s="1" t="s">
        <v>125</v>
      </c>
      <c r="B41" s="2" t="s">
        <v>126</v>
      </c>
      <c r="C41" s="2" t="s">
        <v>127</v>
      </c>
      <c r="D41" s="2">
        <v>1</v>
      </c>
      <c r="E41" s="2" t="s">
        <v>8</v>
      </c>
      <c r="F41" s="2" t="s">
        <v>245</v>
      </c>
      <c r="G41" s="2" t="s">
        <v>178</v>
      </c>
      <c r="H41" s="2" t="s">
        <v>244</v>
      </c>
      <c r="I41" s="2" t="s">
        <v>243</v>
      </c>
      <c r="J41" s="6">
        <v>0.6</v>
      </c>
      <c r="K41" s="5">
        <f t="shared" si="0"/>
        <v>0.6</v>
      </c>
    </row>
    <row r="42" spans="1:11" x14ac:dyDescent="0.25">
      <c r="A42" s="1" t="s">
        <v>128</v>
      </c>
      <c r="B42" s="2" t="s">
        <v>129</v>
      </c>
      <c r="C42" s="2" t="s">
        <v>131</v>
      </c>
      <c r="D42" s="2">
        <v>1</v>
      </c>
      <c r="E42" s="2" t="s">
        <v>8</v>
      </c>
      <c r="F42" s="2" t="s">
        <v>130</v>
      </c>
      <c r="G42" s="2" t="s">
        <v>224</v>
      </c>
      <c r="H42" s="2" t="s">
        <v>129</v>
      </c>
      <c r="I42" s="2" t="s">
        <v>164</v>
      </c>
      <c r="J42" s="6">
        <v>1.03</v>
      </c>
      <c r="K42" s="5">
        <f t="shared" si="0"/>
        <v>1.03</v>
      </c>
    </row>
    <row r="43" spans="1:11" x14ac:dyDescent="0.25">
      <c r="A43" s="1" t="s">
        <v>132</v>
      </c>
      <c r="B43" s="2" t="s">
        <v>133</v>
      </c>
      <c r="C43" s="2" t="s">
        <v>135</v>
      </c>
      <c r="D43" s="2">
        <v>2</v>
      </c>
      <c r="E43" s="2" t="s">
        <v>8</v>
      </c>
      <c r="F43" s="2" t="s">
        <v>134</v>
      </c>
      <c r="G43" s="2" t="s">
        <v>231</v>
      </c>
      <c r="H43" s="2" t="s">
        <v>133</v>
      </c>
      <c r="I43" s="2" t="s">
        <v>232</v>
      </c>
      <c r="J43" s="6">
        <v>1.82</v>
      </c>
      <c r="K43" s="5">
        <f t="shared" si="0"/>
        <v>3.64</v>
      </c>
    </row>
    <row r="44" spans="1:11" x14ac:dyDescent="0.25">
      <c r="A44" s="1" t="s">
        <v>136</v>
      </c>
      <c r="B44" s="2" t="s">
        <v>137</v>
      </c>
      <c r="C44" s="2" t="s">
        <v>138</v>
      </c>
      <c r="D44" s="2">
        <v>1</v>
      </c>
      <c r="E44" s="2" t="s">
        <v>8</v>
      </c>
      <c r="F44" s="2" t="s">
        <v>246</v>
      </c>
      <c r="G44" s="2" t="s">
        <v>231</v>
      </c>
      <c r="H44" s="2" t="s">
        <v>247</v>
      </c>
      <c r="I44" s="2" t="s">
        <v>151</v>
      </c>
      <c r="J44" s="6">
        <v>0.81</v>
      </c>
      <c r="K44" s="5">
        <f t="shared" si="0"/>
        <v>0.81</v>
      </c>
    </row>
    <row r="45" spans="1:11" x14ac:dyDescent="0.25">
      <c r="A45" s="1" t="s">
        <v>139</v>
      </c>
      <c r="B45" s="2" t="s">
        <v>140</v>
      </c>
      <c r="C45" s="2" t="s">
        <v>142</v>
      </c>
      <c r="D45" s="2">
        <v>1</v>
      </c>
      <c r="E45" s="2" t="s">
        <v>8</v>
      </c>
      <c r="F45" s="2" t="s">
        <v>141</v>
      </c>
      <c r="G45" s="2" t="s">
        <v>233</v>
      </c>
      <c r="H45" s="2" t="s">
        <v>219</v>
      </c>
      <c r="I45" s="2" t="s">
        <v>221</v>
      </c>
      <c r="J45" s="6">
        <v>3.05</v>
      </c>
      <c r="K45" s="5">
        <f t="shared" si="0"/>
        <v>3.05</v>
      </c>
    </row>
    <row r="46" spans="1:11" x14ac:dyDescent="0.25">
      <c r="A46" s="1" t="s">
        <v>143</v>
      </c>
      <c r="B46" s="2" t="s">
        <v>144</v>
      </c>
      <c r="C46" s="2" t="s">
        <v>146</v>
      </c>
      <c r="D46" s="2">
        <v>1</v>
      </c>
      <c r="E46" s="2" t="s">
        <v>8</v>
      </c>
      <c r="F46" s="2" t="s">
        <v>145</v>
      </c>
      <c r="G46" s="2" t="s">
        <v>231</v>
      </c>
      <c r="H46" s="2" t="s">
        <v>220</v>
      </c>
      <c r="I46" s="2" t="s">
        <v>234</v>
      </c>
      <c r="J46" s="6">
        <v>3.12</v>
      </c>
      <c r="K46" s="5">
        <f t="shared" si="0"/>
        <v>3.12</v>
      </c>
    </row>
    <row r="47" spans="1:11" x14ac:dyDescent="0.25">
      <c r="A47" s="1" t="s">
        <v>147</v>
      </c>
      <c r="B47" s="2" t="s">
        <v>148</v>
      </c>
      <c r="C47" s="2" t="s">
        <v>150</v>
      </c>
      <c r="D47" s="2">
        <v>1</v>
      </c>
      <c r="E47" s="2" t="s">
        <v>8</v>
      </c>
      <c r="F47" s="2" t="s">
        <v>149</v>
      </c>
      <c r="G47" s="2" t="s">
        <v>235</v>
      </c>
      <c r="H47" s="2" t="s">
        <v>236</v>
      </c>
      <c r="I47" s="2" t="s">
        <v>237</v>
      </c>
      <c r="J47" s="6">
        <v>1.0900000000000001</v>
      </c>
      <c r="K47" s="5">
        <f t="shared" si="0"/>
        <v>1.0900000000000001</v>
      </c>
    </row>
  </sheetData>
  <sortState xmlns:xlrd2="http://schemas.microsoft.com/office/spreadsheetml/2017/richdata2" ref="A3:K47">
    <sortCondition ref="A2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py_dash_pcb_7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Langholz</cp:lastModifiedBy>
  <dcterms:created xsi:type="dcterms:W3CDTF">2026-03-15T22:04:03Z</dcterms:created>
  <dcterms:modified xsi:type="dcterms:W3CDTF">2026-09-13T23:23:23Z</dcterms:modified>
</cp:coreProperties>
</file>